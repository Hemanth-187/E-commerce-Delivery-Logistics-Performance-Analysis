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Delivery Trends" sheetId="1" state="visible" r:id="rId1"/>
    <sheet name="Monthly Delivery Rates" sheetId="2" state="visible" r:id="rId2"/>
    <sheet name="Yearly Summary" sheetId="3" state="visible" r:id="rId3"/>
    <sheet name="Trend Charts" sheetId="4" state="visible" r:id="rId4"/>
    <sheet name="Validation Checks" sheetId="5" state="visible" r:id="rId5"/>
    <sheet name="Definitions and Limits" sheetId="6" state="visible" r:id="rId6"/>
  </sheets>
  <definedNames>
    <definedName name="_xlnm._FilterDatabase" localSheetId="1" hidden="1">'Monthly Delivery Rates'!$A$1:$E$38</definedName>
    <definedName name="_xlnm._FilterDatabase" localSheetId="2" hidden="1">'Yearly Summary'!$A$1:$L$5</definedName>
    <definedName name="_xlnm._FilterDatabase" localSheetId="4" hidden="1">'Validation Checks'!$A$1:$D$12</definedName>
    <definedName name="_xlnm._FilterDatabase" localSheetId="5" hidden="1">'Definitions and Limits'!$A$1:$B$16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Distinct Orders by Delivery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Delivery Trends'!B1</f>
            </strRef>
          </tx>
          <spPr>
            <a:ln>
              <a:prstDash val="solid"/>
            </a:ln>
          </spPr>
          <cat>
            <numRef>
              <f>'Monthly Delivery Trends'!$A$2:$A$38</f>
            </numRef>
          </cat>
          <val>
            <numRef>
              <f>'Monthly Delivery Trends'!$B$2:$B$38</f>
            </numRef>
          </val>
        </ser>
        <ser>
          <idx val="1"/>
          <order val="1"/>
          <tx>
            <strRef>
              <f>'Monthly Delivery Trends'!C1</f>
            </strRef>
          </tx>
          <spPr>
            <a:ln>
              <a:prstDash val="solid"/>
            </a:ln>
          </spPr>
          <cat>
            <numRef>
              <f>'Monthly Delivery Trends'!$A$2:$A$38</f>
            </numRef>
          </cat>
          <val>
            <numRef>
              <f>'Monthly Delivery Trends'!$C$2:$C$38</f>
            </numRef>
          </val>
        </ser>
        <ser>
          <idx val="2"/>
          <order val="2"/>
          <tx>
            <strRef>
              <f>'Monthly Delivery Trends'!D1</f>
            </strRef>
          </tx>
          <spPr>
            <a:ln>
              <a:prstDash val="solid"/>
            </a:ln>
          </spPr>
          <cat>
            <numRef>
              <f>'Monthly Delivery Trends'!$A$2:$A$38</f>
            </numRef>
          </cat>
          <val>
            <numRef>
              <f>'Monthly Delivery Trends'!$D$2:$D$38</f>
            </numRef>
          </val>
        </ser>
        <ser>
          <idx val="3"/>
          <order val="3"/>
          <tx>
            <strRef>
              <f>'Monthly Delivery Trends'!E1</f>
            </strRef>
          </tx>
          <spPr>
            <a:ln>
              <a:prstDash val="solid"/>
            </a:ln>
          </spPr>
          <cat>
            <numRef>
              <f>'Monthly Delivery Trends'!$A$2:$A$38</f>
            </numRef>
          </cat>
          <val>
            <numRef>
              <f>'Monthly Delivery Trends'!$E$2:$E$38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Delivery Performance Rates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Delivery Rates'!C1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Delivery Rates'!$A$2:$A$38</f>
            </numRef>
          </cat>
          <val>
            <numRef>
              <f>'Monthly Delivery Rates'!$C$2:$C$38</f>
            </numRef>
          </val>
        </ser>
        <ser>
          <idx val="1"/>
          <order val="1"/>
          <tx>
            <strRef>
              <f>'Monthly Delivery Rates'!D1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Delivery Rates'!$A$2:$A$38</f>
            </numRef>
          </cat>
          <val>
            <numRef>
              <f>'Monthly Delivery Rates'!$D$2:$D$38</f>
            </numRef>
          </val>
        </ser>
        <ser>
          <idx val="2"/>
          <order val="2"/>
          <tx>
            <strRef>
              <f>'Monthly Delivery Rates'!E1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Delivery Rates'!$A$2:$A$38</f>
            </numRef>
          </cat>
          <val>
            <numRef>
              <f>'Monthly Delivery Rates'!$E$2:$E$38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2" customWidth="1" min="3" max="3"/>
    <col width="26" customWidth="1" min="4" max="4"/>
    <col width="23" customWidth="1" min="5" max="5"/>
    <col width="23" customWidth="1" min="6" max="6"/>
    <col width="27" customWidth="1" min="7" max="7"/>
    <col width="20" customWidth="1" min="8" max="8"/>
    <col width="21" customWidth="1" min="9" max="9"/>
    <col width="23" customWidth="1" min="10" max="10"/>
    <col width="13" customWidth="1" min="11" max="11"/>
  </cols>
  <sheetData>
    <row r="1" ht="30" customHeight="1">
      <c r="A1" s="1" t="inlineStr">
        <is>
          <t>Month</t>
        </is>
      </c>
      <c r="B1" s="1" t="inlineStr">
        <is>
          <t>Advance Shipping Orders</t>
        </is>
      </c>
      <c r="C1" s="1" t="inlineStr">
        <is>
          <t>Late Delivery Orders</t>
        </is>
      </c>
      <c r="D1" s="1" t="inlineStr">
        <is>
          <t>Shipping Canceled Orders</t>
        </is>
      </c>
      <c r="E1" s="1" t="inlineStr">
        <is>
          <t>Strict On-Time Orders</t>
        </is>
      </c>
      <c r="F1" s="1" t="inlineStr">
        <is>
          <t>Total Distinct Orders</t>
        </is>
      </c>
      <c r="G1" s="1" t="inlineStr">
        <is>
          <t>Eligible Delivered Orders</t>
        </is>
      </c>
      <c r="H1" s="1" t="inlineStr">
        <is>
          <t>Late Delivery Rate</t>
        </is>
      </c>
      <c r="I1" s="1" t="inlineStr">
        <is>
          <t>Strict On-Time Rate</t>
        </is>
      </c>
      <c r="J1" s="1" t="inlineStr">
        <is>
          <t>On-Time-or-Early Rate</t>
        </is>
      </c>
      <c r="K1" s="1" t="inlineStr">
        <is>
          <t>Source Rows</t>
        </is>
      </c>
    </row>
    <row r="2">
      <c r="A2" s="2" t="inlineStr">
        <is>
          <t>2015-01</t>
        </is>
      </c>
      <c r="B2" s="2" t="n">
        <v>421</v>
      </c>
      <c r="C2" s="2" t="n">
        <v>963</v>
      </c>
      <c r="D2" s="2" t="n">
        <v>74</v>
      </c>
      <c r="E2" s="2" t="n">
        <v>329</v>
      </c>
      <c r="F2" s="2" t="n">
        <v>1787</v>
      </c>
      <c r="G2" s="2" t="n">
        <v>1713</v>
      </c>
      <c r="H2" s="3" t="n">
        <v>0.5621716287215411</v>
      </c>
      <c r="I2" s="3" t="n">
        <v>0.1920607122008173</v>
      </c>
      <c r="J2" s="3" t="n">
        <v>0.4378283712784589</v>
      </c>
      <c r="K2" s="2" t="n">
        <v>5322</v>
      </c>
    </row>
    <row r="3">
      <c r="A3" s="2" t="inlineStr">
        <is>
          <t>2015-02</t>
        </is>
      </c>
      <c r="B3" s="2" t="n">
        <v>358</v>
      </c>
      <c r="C3" s="2" t="n">
        <v>871</v>
      </c>
      <c r="D3" s="2" t="n">
        <v>80</v>
      </c>
      <c r="E3" s="2" t="n">
        <v>276</v>
      </c>
      <c r="F3" s="2" t="n">
        <v>1585</v>
      </c>
      <c r="G3" s="2" t="n">
        <v>1505</v>
      </c>
      <c r="H3" s="3" t="n">
        <v>0.5787375415282392</v>
      </c>
      <c r="I3" s="3" t="n">
        <v>0.1833887043189369</v>
      </c>
      <c r="J3" s="3" t="n">
        <v>0.4212624584717608</v>
      </c>
      <c r="K3" s="2" t="n">
        <v>4729</v>
      </c>
    </row>
    <row r="4">
      <c r="A4" s="2" t="inlineStr">
        <is>
          <t>2015-03</t>
        </is>
      </c>
      <c r="B4" s="2" t="n">
        <v>402</v>
      </c>
      <c r="C4" s="2" t="n">
        <v>978</v>
      </c>
      <c r="D4" s="2" t="n">
        <v>79</v>
      </c>
      <c r="E4" s="2" t="n">
        <v>322</v>
      </c>
      <c r="F4" s="2" t="n">
        <v>1781</v>
      </c>
      <c r="G4" s="2" t="n">
        <v>1702</v>
      </c>
      <c r="H4" s="3" t="n">
        <v>0.5746180963572268</v>
      </c>
      <c r="I4" s="3" t="n">
        <v>0.1891891891891892</v>
      </c>
      <c r="J4" s="3" t="n">
        <v>0.4253819036427732</v>
      </c>
      <c r="K4" s="2" t="n">
        <v>5362</v>
      </c>
    </row>
    <row r="5">
      <c r="A5" s="2" t="inlineStr">
        <is>
          <t>2015-04</t>
        </is>
      </c>
      <c r="B5" s="2" t="n">
        <v>404</v>
      </c>
      <c r="C5" s="2" t="n">
        <v>927</v>
      </c>
      <c r="D5" s="2" t="n">
        <v>71</v>
      </c>
      <c r="E5" s="2" t="n">
        <v>308</v>
      </c>
      <c r="F5" s="2" t="n">
        <v>1710</v>
      </c>
      <c r="G5" s="2" t="n">
        <v>1639</v>
      </c>
      <c r="H5" s="3" t="n">
        <v>0.565588773642465</v>
      </c>
      <c r="I5" s="3" t="n">
        <v>0.1879194630872483</v>
      </c>
      <c r="J5" s="3" t="n">
        <v>0.4344112263575351</v>
      </c>
      <c r="K5" s="2" t="n">
        <v>5126</v>
      </c>
    </row>
    <row r="6">
      <c r="A6" s="2" t="inlineStr">
        <is>
          <t>2015-05</t>
        </is>
      </c>
      <c r="B6" s="2" t="n">
        <v>414</v>
      </c>
      <c r="C6" s="2" t="n">
        <v>969</v>
      </c>
      <c r="D6" s="2" t="n">
        <v>92</v>
      </c>
      <c r="E6" s="2" t="n">
        <v>301</v>
      </c>
      <c r="F6" s="2" t="n">
        <v>1776</v>
      </c>
      <c r="G6" s="2" t="n">
        <v>1684</v>
      </c>
      <c r="H6" s="3" t="n">
        <v>0.5754156769596199</v>
      </c>
      <c r="I6" s="3" t="n">
        <v>0.1787410926365796</v>
      </c>
      <c r="J6" s="3" t="n">
        <v>0.4245843230403801</v>
      </c>
      <c r="K6" s="2" t="n">
        <v>5357</v>
      </c>
    </row>
    <row r="7">
      <c r="A7" s="2" t="inlineStr">
        <is>
          <t>2015-06</t>
        </is>
      </c>
      <c r="B7" s="2" t="n">
        <v>404</v>
      </c>
      <c r="C7" s="2" t="n">
        <v>941</v>
      </c>
      <c r="D7" s="2" t="n">
        <v>74</v>
      </c>
      <c r="E7" s="2" t="n">
        <v>306</v>
      </c>
      <c r="F7" s="2" t="n">
        <v>1725</v>
      </c>
      <c r="G7" s="2" t="n">
        <v>1651</v>
      </c>
      <c r="H7" s="3" t="n">
        <v>0.5699576014536645</v>
      </c>
      <c r="I7" s="3" t="n">
        <v>0.1853422168382798</v>
      </c>
      <c r="J7" s="3" t="n">
        <v>0.4300423985463356</v>
      </c>
      <c r="K7" s="2" t="n">
        <v>5134</v>
      </c>
    </row>
    <row r="8">
      <c r="A8" s="2" t="inlineStr">
        <is>
          <t>2015-07</t>
        </is>
      </c>
      <c r="B8" s="2" t="n">
        <v>418</v>
      </c>
      <c r="C8" s="2" t="n">
        <v>963</v>
      </c>
      <c r="D8" s="2" t="n">
        <v>59</v>
      </c>
      <c r="E8" s="2" t="n">
        <v>323</v>
      </c>
      <c r="F8" s="2" t="n">
        <v>1763</v>
      </c>
      <c r="G8" s="2" t="n">
        <v>1704</v>
      </c>
      <c r="H8" s="3" t="n">
        <v>0.5651408450704225</v>
      </c>
      <c r="I8" s="3" t="n">
        <v>0.1895539906103286</v>
      </c>
      <c r="J8" s="3" t="n">
        <v>0.4348591549295774</v>
      </c>
      <c r="K8" s="2" t="n">
        <v>5299</v>
      </c>
    </row>
    <row r="9">
      <c r="A9" s="2" t="inlineStr">
        <is>
          <t>2015-08</t>
        </is>
      </c>
      <c r="B9" s="2" t="n">
        <v>408</v>
      </c>
      <c r="C9" s="2" t="n">
        <v>966</v>
      </c>
      <c r="D9" s="2" t="n">
        <v>84</v>
      </c>
      <c r="E9" s="2" t="n">
        <v>304</v>
      </c>
      <c r="F9" s="2" t="n">
        <v>1762</v>
      </c>
      <c r="G9" s="2" t="n">
        <v>1678</v>
      </c>
      <c r="H9" s="3" t="n">
        <v>0.5756853396901073</v>
      </c>
      <c r="I9" s="3" t="n">
        <v>0.1811680572109654</v>
      </c>
      <c r="J9" s="3" t="n">
        <v>0.4243146603098927</v>
      </c>
      <c r="K9" s="2" t="n">
        <v>5273</v>
      </c>
    </row>
    <row r="10">
      <c r="A10" s="2" t="inlineStr">
        <is>
          <t>2015-09</t>
        </is>
      </c>
      <c r="B10" s="2" t="n">
        <v>394</v>
      </c>
      <c r="C10" s="2" t="n">
        <v>951</v>
      </c>
      <c r="D10" s="2" t="n">
        <v>72</v>
      </c>
      <c r="E10" s="2" t="n">
        <v>289</v>
      </c>
      <c r="F10" s="2" t="n">
        <v>1706</v>
      </c>
      <c r="G10" s="2" t="n">
        <v>1634</v>
      </c>
      <c r="H10" s="3" t="n">
        <v>0.5820073439412484</v>
      </c>
      <c r="I10" s="3" t="n">
        <v>0.1768665850673194</v>
      </c>
      <c r="J10" s="3" t="n">
        <v>0.4179926560587515</v>
      </c>
      <c r="K10" s="2" t="n">
        <v>5140</v>
      </c>
    </row>
    <row r="11">
      <c r="A11" s="2" t="inlineStr">
        <is>
          <t>2015-10</t>
        </is>
      </c>
      <c r="B11" s="2" t="n">
        <v>420</v>
      </c>
      <c r="C11" s="2" t="n">
        <v>973</v>
      </c>
      <c r="D11" s="2" t="n">
        <v>79</v>
      </c>
      <c r="E11" s="2" t="n">
        <v>303</v>
      </c>
      <c r="F11" s="2" t="n">
        <v>1775</v>
      </c>
      <c r="G11" s="2" t="n">
        <v>1696</v>
      </c>
      <c r="H11" s="3" t="n">
        <v>0.5737028301886793</v>
      </c>
      <c r="I11" s="3" t="n">
        <v>0.1786556603773585</v>
      </c>
      <c r="J11" s="3" t="n">
        <v>0.4262971698113208</v>
      </c>
      <c r="K11" s="2" t="n">
        <v>5302</v>
      </c>
    </row>
    <row r="12">
      <c r="A12" s="2" t="inlineStr">
        <is>
          <t>2015-11</t>
        </is>
      </c>
      <c r="B12" s="2" t="n">
        <v>398</v>
      </c>
      <c r="C12" s="2" t="n">
        <v>941</v>
      </c>
      <c r="D12" s="2" t="n">
        <v>71</v>
      </c>
      <c r="E12" s="2" t="n">
        <v>319</v>
      </c>
      <c r="F12" s="2" t="n">
        <v>1729</v>
      </c>
      <c r="G12" s="2" t="n">
        <v>1658</v>
      </c>
      <c r="H12" s="3" t="n">
        <v>0.5675512665862484</v>
      </c>
      <c r="I12" s="3" t="n">
        <v>0.192400482509047</v>
      </c>
      <c r="J12" s="3" t="n">
        <v>0.4324487334137515</v>
      </c>
      <c r="K12" s="2" t="n">
        <v>5235</v>
      </c>
    </row>
    <row r="13">
      <c r="A13" s="2" t="inlineStr">
        <is>
          <t>2015-12</t>
        </is>
      </c>
      <c r="B13" s="2" t="n">
        <v>420</v>
      </c>
      <c r="C13" s="2" t="n">
        <v>988</v>
      </c>
      <c r="D13" s="2" t="n">
        <v>74</v>
      </c>
      <c r="E13" s="2" t="n">
        <v>323</v>
      </c>
      <c r="F13" s="2" t="n">
        <v>1805</v>
      </c>
      <c r="G13" s="2" t="n">
        <v>1731</v>
      </c>
      <c r="H13" s="3" t="n">
        <v>0.5707683419988446</v>
      </c>
      <c r="I13" s="3" t="n">
        <v>0.1865973425765453</v>
      </c>
      <c r="J13" s="3" t="n">
        <v>0.4292316580011554</v>
      </c>
      <c r="K13" s="2" t="n">
        <v>5371</v>
      </c>
    </row>
    <row r="14">
      <c r="A14" s="2" t="inlineStr">
        <is>
          <t>2016-01</t>
        </is>
      </c>
      <c r="B14" s="2" t="n">
        <v>395</v>
      </c>
      <c r="C14" s="2" t="n">
        <v>998</v>
      </c>
      <c r="D14" s="2" t="n">
        <v>69</v>
      </c>
      <c r="E14" s="2" t="n">
        <v>310</v>
      </c>
      <c r="F14" s="2" t="n">
        <v>1772</v>
      </c>
      <c r="G14" s="2" t="n">
        <v>1703</v>
      </c>
      <c r="H14" s="3" t="n">
        <v>0.5860246623605402</v>
      </c>
      <c r="I14" s="3" t="n">
        <v>0.182031708749266</v>
      </c>
      <c r="J14" s="3" t="n">
        <v>0.4139753376394598</v>
      </c>
      <c r="K14" s="2" t="n">
        <v>5317</v>
      </c>
    </row>
    <row r="15">
      <c r="A15" s="2" t="inlineStr">
        <is>
          <t>2016-02</t>
        </is>
      </c>
      <c r="B15" s="2" t="n">
        <v>371</v>
      </c>
      <c r="C15" s="2" t="n">
        <v>893</v>
      </c>
      <c r="D15" s="2" t="n">
        <v>76</v>
      </c>
      <c r="E15" s="2" t="n">
        <v>310</v>
      </c>
      <c r="F15" s="2" t="n">
        <v>1650</v>
      </c>
      <c r="G15" s="2" t="n">
        <v>1574</v>
      </c>
      <c r="H15" s="3" t="n">
        <v>0.5673443456162643</v>
      </c>
      <c r="I15" s="3" t="n">
        <v>0.1969504447268107</v>
      </c>
      <c r="J15" s="3" t="n">
        <v>0.4326556543837357</v>
      </c>
      <c r="K15" s="2" t="n">
        <v>4894</v>
      </c>
    </row>
    <row r="16">
      <c r="A16" s="2" t="inlineStr">
        <is>
          <t>2016-03</t>
        </is>
      </c>
      <c r="B16" s="2" t="n">
        <v>416</v>
      </c>
      <c r="C16" s="2" t="n">
        <v>987</v>
      </c>
      <c r="D16" s="2" t="n">
        <v>64</v>
      </c>
      <c r="E16" s="2" t="n">
        <v>297</v>
      </c>
      <c r="F16" s="2" t="n">
        <v>1764</v>
      </c>
      <c r="G16" s="2" t="n">
        <v>1700</v>
      </c>
      <c r="H16" s="3" t="n">
        <v>0.5805882352941176</v>
      </c>
      <c r="I16" s="3" t="n">
        <v>0.1747058823529412</v>
      </c>
      <c r="J16" s="3" t="n">
        <v>0.4194117647058824</v>
      </c>
      <c r="K16" s="2" t="n">
        <v>5210</v>
      </c>
    </row>
    <row r="17">
      <c r="A17" s="2" t="inlineStr">
        <is>
          <t>2016-04</t>
        </is>
      </c>
      <c r="B17" s="2" t="n">
        <v>393</v>
      </c>
      <c r="C17" s="2" t="n">
        <v>925</v>
      </c>
      <c r="D17" s="2" t="n">
        <v>76</v>
      </c>
      <c r="E17" s="2" t="n">
        <v>312</v>
      </c>
      <c r="F17" s="2" t="n">
        <v>1706</v>
      </c>
      <c r="G17" s="2" t="n">
        <v>1630</v>
      </c>
      <c r="H17" s="3" t="n">
        <v>0.5674846625766872</v>
      </c>
      <c r="I17" s="3" t="n">
        <v>0.1914110429447853</v>
      </c>
      <c r="J17" s="3" t="n">
        <v>0.4325153374233129</v>
      </c>
      <c r="K17" s="2" t="n">
        <v>5097</v>
      </c>
    </row>
    <row r="18">
      <c r="A18" s="2" t="inlineStr">
        <is>
          <t>2016-05</t>
        </is>
      </c>
      <c r="B18" s="2" t="n">
        <v>377</v>
      </c>
      <c r="C18" s="2" t="n">
        <v>971</v>
      </c>
      <c r="D18" s="2" t="n">
        <v>88</v>
      </c>
      <c r="E18" s="2" t="n">
        <v>327</v>
      </c>
      <c r="F18" s="2" t="n">
        <v>1763</v>
      </c>
      <c r="G18" s="2" t="n">
        <v>1675</v>
      </c>
      <c r="H18" s="3" t="n">
        <v>0.5797014925373134</v>
      </c>
      <c r="I18" s="3" t="n">
        <v>0.1952238805970149</v>
      </c>
      <c r="J18" s="3" t="n">
        <v>0.4202985074626865</v>
      </c>
      <c r="K18" s="2" t="n">
        <v>5302</v>
      </c>
    </row>
    <row r="19">
      <c r="A19" s="2" t="inlineStr">
        <is>
          <t>2016-06</t>
        </is>
      </c>
      <c r="B19" s="2" t="n">
        <v>351</v>
      </c>
      <c r="C19" s="2" t="n">
        <v>968</v>
      </c>
      <c r="D19" s="2" t="n">
        <v>73</v>
      </c>
      <c r="E19" s="2" t="n">
        <v>298</v>
      </c>
      <c r="F19" s="2" t="n">
        <v>1690</v>
      </c>
      <c r="G19" s="2" t="n">
        <v>1617</v>
      </c>
      <c r="H19" s="3" t="n">
        <v>0.5986394557823129</v>
      </c>
      <c r="I19" s="3" t="n">
        <v>0.1842918985776129</v>
      </c>
      <c r="J19" s="3" t="n">
        <v>0.4013605442176871</v>
      </c>
      <c r="K19" s="2" t="n">
        <v>5054</v>
      </c>
    </row>
    <row r="20">
      <c r="A20" s="2" t="inlineStr">
        <is>
          <t>2016-07</t>
        </is>
      </c>
      <c r="B20" s="2" t="n">
        <v>415</v>
      </c>
      <c r="C20" s="2" t="n">
        <v>922</v>
      </c>
      <c r="D20" s="2" t="n">
        <v>96</v>
      </c>
      <c r="E20" s="2" t="n">
        <v>325</v>
      </c>
      <c r="F20" s="2" t="n">
        <v>1758</v>
      </c>
      <c r="G20" s="2" t="n">
        <v>1662</v>
      </c>
      <c r="H20" s="3" t="n">
        <v>0.5547533092659447</v>
      </c>
      <c r="I20" s="3" t="n">
        <v>0.1955475330926595</v>
      </c>
      <c r="J20" s="3" t="n">
        <v>0.4452466907340554</v>
      </c>
      <c r="K20" s="2" t="n">
        <v>5305</v>
      </c>
    </row>
    <row r="21">
      <c r="A21" s="2" t="inlineStr">
        <is>
          <t>2016-08</t>
        </is>
      </c>
      <c r="B21" s="2" t="n">
        <v>412</v>
      </c>
      <c r="C21" s="2" t="n">
        <v>983</v>
      </c>
      <c r="D21" s="2" t="n">
        <v>68</v>
      </c>
      <c r="E21" s="2" t="n">
        <v>303</v>
      </c>
      <c r="F21" s="2" t="n">
        <v>1766</v>
      </c>
      <c r="G21" s="2" t="n">
        <v>1698</v>
      </c>
      <c r="H21" s="3" t="n">
        <v>0.5789163722025913</v>
      </c>
      <c r="I21" s="3" t="n">
        <v>0.1784452296819788</v>
      </c>
      <c r="J21" s="3" t="n">
        <v>0.4210836277974087</v>
      </c>
      <c r="K21" s="2" t="n">
        <v>5334</v>
      </c>
    </row>
    <row r="22">
      <c r="A22" s="2" t="inlineStr">
        <is>
          <t>2016-09</t>
        </is>
      </c>
      <c r="B22" s="2" t="n">
        <v>396</v>
      </c>
      <c r="C22" s="2" t="n">
        <v>949</v>
      </c>
      <c r="D22" s="2" t="n">
        <v>66</v>
      </c>
      <c r="E22" s="2" t="n">
        <v>319</v>
      </c>
      <c r="F22" s="2" t="n">
        <v>1730</v>
      </c>
      <c r="G22" s="2" t="n">
        <v>1664</v>
      </c>
      <c r="H22" s="3" t="n">
        <v>0.5703125</v>
      </c>
      <c r="I22" s="3" t="n">
        <v>0.1917067307692308</v>
      </c>
      <c r="J22" s="3" t="n">
        <v>0.4296875</v>
      </c>
      <c r="K22" s="2" t="n">
        <v>5160</v>
      </c>
    </row>
    <row r="23">
      <c r="A23" s="2" t="inlineStr">
        <is>
          <t>2016-10</t>
        </is>
      </c>
      <c r="B23" s="2" t="n">
        <v>386</v>
      </c>
      <c r="C23" s="2" t="n">
        <v>976</v>
      </c>
      <c r="D23" s="2" t="n">
        <v>73</v>
      </c>
      <c r="E23" s="2" t="n">
        <v>341</v>
      </c>
      <c r="F23" s="2" t="n">
        <v>1776</v>
      </c>
      <c r="G23" s="2" t="n">
        <v>1703</v>
      </c>
      <c r="H23" s="3" t="n">
        <v>0.5731062830299471</v>
      </c>
      <c r="I23" s="3" t="n">
        <v>0.2002348796241926</v>
      </c>
      <c r="J23" s="3" t="n">
        <v>0.4268937169700529</v>
      </c>
      <c r="K23" s="2" t="n">
        <v>5398</v>
      </c>
    </row>
    <row r="24">
      <c r="A24" s="2" t="inlineStr">
        <is>
          <t>2016-11</t>
        </is>
      </c>
      <c r="B24" s="2" t="n">
        <v>408</v>
      </c>
      <c r="C24" s="2" t="n">
        <v>935</v>
      </c>
      <c r="D24" s="2" t="n">
        <v>82</v>
      </c>
      <c r="E24" s="2" t="n">
        <v>296</v>
      </c>
      <c r="F24" s="2" t="n">
        <v>1721</v>
      </c>
      <c r="G24" s="2" t="n">
        <v>1639</v>
      </c>
      <c r="H24" s="3" t="n">
        <v>0.5704697986577181</v>
      </c>
      <c r="I24" s="3" t="n">
        <v>0.1805979255643685</v>
      </c>
      <c r="J24" s="3" t="n">
        <v>0.4295302013422819</v>
      </c>
      <c r="K24" s="2" t="n">
        <v>5210</v>
      </c>
    </row>
    <row r="25">
      <c r="A25" s="2" t="inlineStr">
        <is>
          <t>2016-12</t>
        </is>
      </c>
      <c r="B25" s="2" t="n">
        <v>395</v>
      </c>
      <c r="C25" s="2" t="n">
        <v>990</v>
      </c>
      <c r="D25" s="2" t="n">
        <v>73</v>
      </c>
      <c r="E25" s="2" t="n">
        <v>305</v>
      </c>
      <c r="F25" s="2" t="n">
        <v>1763</v>
      </c>
      <c r="G25" s="2" t="n">
        <v>1690</v>
      </c>
      <c r="H25" s="3" t="n">
        <v>0.5857988165680473</v>
      </c>
      <c r="I25" s="3" t="n">
        <v>0.1804733727810651</v>
      </c>
      <c r="J25" s="3" t="n">
        <v>0.4142011834319527</v>
      </c>
      <c r="K25" s="2" t="n">
        <v>5269</v>
      </c>
    </row>
    <row r="26">
      <c r="A26" s="2" t="inlineStr">
        <is>
          <t>2017-01</t>
        </is>
      </c>
      <c r="B26" s="2" t="n">
        <v>422</v>
      </c>
      <c r="C26" s="2" t="n">
        <v>940</v>
      </c>
      <c r="D26" s="2" t="n">
        <v>60</v>
      </c>
      <c r="E26" s="2" t="n">
        <v>323</v>
      </c>
      <c r="F26" s="2" t="n">
        <v>1745</v>
      </c>
      <c r="G26" s="2" t="n">
        <v>1685</v>
      </c>
      <c r="H26" s="3" t="n">
        <v>0.5578635014836796</v>
      </c>
      <c r="I26" s="3" t="n">
        <v>0.1916913946587537</v>
      </c>
      <c r="J26" s="3" t="n">
        <v>0.4421364985163205</v>
      </c>
      <c r="K26" s="2" t="n">
        <v>5217</v>
      </c>
    </row>
    <row r="27">
      <c r="A27" s="2" t="inlineStr">
        <is>
          <t>2017-02</t>
        </is>
      </c>
      <c r="B27" s="2" t="n">
        <v>365</v>
      </c>
      <c r="C27" s="2" t="n">
        <v>879</v>
      </c>
      <c r="D27" s="2" t="n">
        <v>76</v>
      </c>
      <c r="E27" s="2" t="n">
        <v>294</v>
      </c>
      <c r="F27" s="2" t="n">
        <v>1614</v>
      </c>
      <c r="G27" s="2" t="n">
        <v>1538</v>
      </c>
      <c r="H27" s="3" t="n">
        <v>0.5715214564369311</v>
      </c>
      <c r="I27" s="3" t="n">
        <v>0.1911573472041612</v>
      </c>
      <c r="J27" s="3" t="n">
        <v>0.4284785435630689</v>
      </c>
      <c r="K27" s="2" t="n">
        <v>4906</v>
      </c>
    </row>
    <row r="28">
      <c r="A28" s="2" t="inlineStr">
        <is>
          <t>2017-03</t>
        </is>
      </c>
      <c r="B28" s="2" t="n">
        <v>409</v>
      </c>
      <c r="C28" s="2" t="n">
        <v>984</v>
      </c>
      <c r="D28" s="2" t="n">
        <v>72</v>
      </c>
      <c r="E28" s="2" t="n">
        <v>317</v>
      </c>
      <c r="F28" s="2" t="n">
        <v>1782</v>
      </c>
      <c r="G28" s="2" t="n">
        <v>1710</v>
      </c>
      <c r="H28" s="3" t="n">
        <v>0.5754385964912281</v>
      </c>
      <c r="I28" s="3" t="n">
        <v>0.1853801169590643</v>
      </c>
      <c r="J28" s="3" t="n">
        <v>0.4245614035087719</v>
      </c>
      <c r="K28" s="2" t="n">
        <v>5347</v>
      </c>
    </row>
    <row r="29">
      <c r="A29" s="2" t="inlineStr">
        <is>
          <t>2017-04</t>
        </is>
      </c>
      <c r="B29" s="2" t="n">
        <v>412</v>
      </c>
      <c r="C29" s="2" t="n">
        <v>917</v>
      </c>
      <c r="D29" s="2" t="n">
        <v>73</v>
      </c>
      <c r="E29" s="2" t="n">
        <v>337</v>
      </c>
      <c r="F29" s="2" t="n">
        <v>1739</v>
      </c>
      <c r="G29" s="2" t="n">
        <v>1666</v>
      </c>
      <c r="H29" s="3" t="n">
        <v>0.5504201680672269</v>
      </c>
      <c r="I29" s="3" t="n">
        <v>0.202280912364946</v>
      </c>
      <c r="J29" s="3" t="n">
        <v>0.4495798319327731</v>
      </c>
      <c r="K29" s="2" t="n">
        <v>5212</v>
      </c>
    </row>
    <row r="30">
      <c r="A30" s="2" t="inlineStr">
        <is>
          <t>2017-05</t>
        </is>
      </c>
      <c r="B30" s="2" t="n">
        <v>387</v>
      </c>
      <c r="C30" s="2" t="n">
        <v>965</v>
      </c>
      <c r="D30" s="2" t="n">
        <v>91</v>
      </c>
      <c r="E30" s="2" t="n">
        <v>320</v>
      </c>
      <c r="F30" s="2" t="n">
        <v>1763</v>
      </c>
      <c r="G30" s="2" t="n">
        <v>1672</v>
      </c>
      <c r="H30" s="3" t="n">
        <v>0.5771531100478469</v>
      </c>
      <c r="I30" s="3" t="n">
        <v>0.1913875598086124</v>
      </c>
      <c r="J30" s="3" t="n">
        <v>0.4228468899521531</v>
      </c>
      <c r="K30" s="2" t="n">
        <v>5317</v>
      </c>
    </row>
    <row r="31">
      <c r="A31" s="2" t="inlineStr">
        <is>
          <t>2017-06</t>
        </is>
      </c>
      <c r="B31" s="2" t="n">
        <v>402</v>
      </c>
      <c r="C31" s="2" t="n">
        <v>911</v>
      </c>
      <c r="D31" s="2" t="n">
        <v>71</v>
      </c>
      <c r="E31" s="2" t="n">
        <v>292</v>
      </c>
      <c r="F31" s="2" t="n">
        <v>1676</v>
      </c>
      <c r="G31" s="2" t="n">
        <v>1605</v>
      </c>
      <c r="H31" s="3" t="n">
        <v>0.567601246105919</v>
      </c>
      <c r="I31" s="3" t="n">
        <v>0.1819314641744548</v>
      </c>
      <c r="J31" s="3" t="n">
        <v>0.432398753894081</v>
      </c>
      <c r="K31" s="2" t="n">
        <v>4951</v>
      </c>
    </row>
    <row r="32">
      <c r="A32" s="2" t="inlineStr">
        <is>
          <t>2017-07</t>
        </is>
      </c>
      <c r="B32" s="2" t="n">
        <v>417</v>
      </c>
      <c r="C32" s="2" t="n">
        <v>966</v>
      </c>
      <c r="D32" s="2" t="n">
        <v>83</v>
      </c>
      <c r="E32" s="2" t="n">
        <v>310</v>
      </c>
      <c r="F32" s="2" t="n">
        <v>1776</v>
      </c>
      <c r="G32" s="2" t="n">
        <v>1693</v>
      </c>
      <c r="H32" s="3" t="n">
        <v>0.570584760779681</v>
      </c>
      <c r="I32" s="3" t="n">
        <v>0.1831069108092144</v>
      </c>
      <c r="J32" s="3" t="n">
        <v>0.4294152392203189</v>
      </c>
      <c r="K32" s="2" t="n">
        <v>5318</v>
      </c>
    </row>
    <row r="33">
      <c r="A33" s="2" t="inlineStr">
        <is>
          <t>2017-08</t>
        </is>
      </c>
      <c r="B33" s="2" t="n">
        <v>409</v>
      </c>
      <c r="C33" s="2" t="n">
        <v>981</v>
      </c>
      <c r="D33" s="2" t="n">
        <v>73</v>
      </c>
      <c r="E33" s="2" t="n">
        <v>305</v>
      </c>
      <c r="F33" s="2" t="n">
        <v>1768</v>
      </c>
      <c r="G33" s="2" t="n">
        <v>1695</v>
      </c>
      <c r="H33" s="3" t="n">
        <v>0.5787610619469027</v>
      </c>
      <c r="I33" s="3" t="n">
        <v>0.1799410029498525</v>
      </c>
      <c r="J33" s="3" t="n">
        <v>0.4212389380530974</v>
      </c>
      <c r="K33" s="2" t="n">
        <v>5305</v>
      </c>
    </row>
    <row r="34">
      <c r="A34" s="2" t="inlineStr">
        <is>
          <t>2017-09</t>
        </is>
      </c>
      <c r="B34" s="2" t="n">
        <v>402</v>
      </c>
      <c r="C34" s="2" t="n">
        <v>941</v>
      </c>
      <c r="D34" s="2" t="n">
        <v>83</v>
      </c>
      <c r="E34" s="2" t="n">
        <v>297</v>
      </c>
      <c r="F34" s="2" t="n">
        <v>1723</v>
      </c>
      <c r="G34" s="2" t="n">
        <v>1640</v>
      </c>
      <c r="H34" s="3" t="n">
        <v>0.573780487804878</v>
      </c>
      <c r="I34" s="3" t="n">
        <v>0.1810975609756098</v>
      </c>
      <c r="J34" s="3" t="n">
        <v>0.4262195121951219</v>
      </c>
      <c r="K34" s="2" t="n">
        <v>5189</v>
      </c>
    </row>
    <row r="35">
      <c r="A35" s="2" t="inlineStr">
        <is>
          <t>2017-10</t>
        </is>
      </c>
      <c r="B35" s="2" t="n">
        <v>503</v>
      </c>
      <c r="C35" s="2" t="n">
        <v>1137</v>
      </c>
      <c r="D35" s="2" t="n">
        <v>82</v>
      </c>
      <c r="E35" s="2" t="n">
        <v>379</v>
      </c>
      <c r="F35" s="2" t="n">
        <v>2101</v>
      </c>
      <c r="G35" s="2" t="n">
        <v>2019</v>
      </c>
      <c r="H35" s="3" t="n">
        <v>0.563150074294205</v>
      </c>
      <c r="I35" s="3" t="n">
        <v>0.1877166914314017</v>
      </c>
      <c r="J35" s="3" t="n">
        <v>0.436849925705795</v>
      </c>
      <c r="K35" s="2" t="n">
        <v>2255</v>
      </c>
    </row>
    <row r="36">
      <c r="A36" s="2" t="inlineStr">
        <is>
          <t>2017-11</t>
        </is>
      </c>
      <c r="B36" s="2" t="n">
        <v>465</v>
      </c>
      <c r="C36" s="2" t="n">
        <v>1132</v>
      </c>
      <c r="D36" s="2" t="n">
        <v>99</v>
      </c>
      <c r="E36" s="2" t="n">
        <v>359</v>
      </c>
      <c r="F36" s="2" t="n">
        <v>2055</v>
      </c>
      <c r="G36" s="2" t="n">
        <v>1956</v>
      </c>
      <c r="H36" s="3" t="n">
        <v>0.5787321063394683</v>
      </c>
      <c r="I36" s="3" t="n">
        <v>0.1835378323108385</v>
      </c>
      <c r="J36" s="3" t="n">
        <v>0.4212678936605317</v>
      </c>
      <c r="K36" s="2" t="n">
        <v>2055</v>
      </c>
    </row>
    <row r="37">
      <c r="A37" s="2" t="inlineStr">
        <is>
          <t>2017-12</t>
        </is>
      </c>
      <c r="B37" s="2" t="n">
        <v>490</v>
      </c>
      <c r="C37" s="2" t="n">
        <v>1172</v>
      </c>
      <c r="D37" s="2" t="n">
        <v>93</v>
      </c>
      <c r="E37" s="2" t="n">
        <v>369</v>
      </c>
      <c r="F37" s="2" t="n">
        <v>2124</v>
      </c>
      <c r="G37" s="2" t="n">
        <v>2031</v>
      </c>
      <c r="H37" s="3" t="n">
        <v>0.5770556376169375</v>
      </c>
      <c r="I37" s="3" t="n">
        <v>0.1816838995568685</v>
      </c>
      <c r="J37" s="3" t="n">
        <v>0.4229443623830625</v>
      </c>
      <c r="K37" s="2" t="n">
        <v>2124</v>
      </c>
    </row>
    <row r="38">
      <c r="A38" s="2" t="inlineStr">
        <is>
          <t>2018-01</t>
        </is>
      </c>
      <c r="B38" s="2" t="n">
        <v>468</v>
      </c>
      <c r="C38" s="2" t="n">
        <v>1195</v>
      </c>
      <c r="D38" s="2" t="n">
        <v>86</v>
      </c>
      <c r="E38" s="2" t="n">
        <v>374</v>
      </c>
      <c r="F38" s="2" t="n">
        <v>2123</v>
      </c>
      <c r="G38" s="2" t="n">
        <v>2037</v>
      </c>
      <c r="H38" s="3" t="n">
        <v>0.586647029945999</v>
      </c>
      <c r="I38" s="3" t="n">
        <v>0.1836033382425135</v>
      </c>
      <c r="J38" s="3" t="n">
        <v>0.413352970054001</v>
      </c>
      <c r="K38" s="2" t="n">
        <v>2123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21" customWidth="1" min="4" max="4"/>
    <col width="23" customWidth="1" min="5" max="5"/>
  </cols>
  <sheetData>
    <row r="1" ht="30" customHeight="1">
      <c r="A1" s="1" t="inlineStr">
        <is>
          <t>Month</t>
        </is>
      </c>
      <c r="B1" s="1" t="inlineStr">
        <is>
          <t>Eligible Delivered Orders</t>
        </is>
      </c>
      <c r="C1" s="1" t="inlineStr">
        <is>
          <t>Late Delivery Rate</t>
        </is>
      </c>
      <c r="D1" s="1" t="inlineStr">
        <is>
          <t>Strict On-Time Rate</t>
        </is>
      </c>
      <c r="E1" s="1" t="inlineStr">
        <is>
          <t>On-Time-or-Early Rate</t>
        </is>
      </c>
    </row>
    <row r="2">
      <c r="A2" s="2" t="inlineStr">
        <is>
          <t>2015-01</t>
        </is>
      </c>
      <c r="B2" s="2" t="n">
        <v>1713</v>
      </c>
      <c r="C2" s="3" t="n">
        <v>0.5621716287215411</v>
      </c>
      <c r="D2" s="3" t="n">
        <v>0.1920607122008173</v>
      </c>
      <c r="E2" s="3" t="n">
        <v>0.4378283712784589</v>
      </c>
    </row>
    <row r="3">
      <c r="A3" s="2" t="inlineStr">
        <is>
          <t>2015-02</t>
        </is>
      </c>
      <c r="B3" s="2" t="n">
        <v>1505</v>
      </c>
      <c r="C3" s="3" t="n">
        <v>0.5787375415282392</v>
      </c>
      <c r="D3" s="3" t="n">
        <v>0.1833887043189369</v>
      </c>
      <c r="E3" s="3" t="n">
        <v>0.4212624584717608</v>
      </c>
    </row>
    <row r="4">
      <c r="A4" s="2" t="inlineStr">
        <is>
          <t>2015-03</t>
        </is>
      </c>
      <c r="B4" s="2" t="n">
        <v>1702</v>
      </c>
      <c r="C4" s="3" t="n">
        <v>0.5746180963572268</v>
      </c>
      <c r="D4" s="3" t="n">
        <v>0.1891891891891892</v>
      </c>
      <c r="E4" s="3" t="n">
        <v>0.4253819036427732</v>
      </c>
    </row>
    <row r="5">
      <c r="A5" s="2" t="inlineStr">
        <is>
          <t>2015-04</t>
        </is>
      </c>
      <c r="B5" s="2" t="n">
        <v>1639</v>
      </c>
      <c r="C5" s="3" t="n">
        <v>0.565588773642465</v>
      </c>
      <c r="D5" s="3" t="n">
        <v>0.1879194630872483</v>
      </c>
      <c r="E5" s="3" t="n">
        <v>0.4344112263575351</v>
      </c>
    </row>
    <row r="6">
      <c r="A6" s="2" t="inlineStr">
        <is>
          <t>2015-05</t>
        </is>
      </c>
      <c r="B6" s="2" t="n">
        <v>1684</v>
      </c>
      <c r="C6" s="3" t="n">
        <v>0.5754156769596199</v>
      </c>
      <c r="D6" s="3" t="n">
        <v>0.1787410926365796</v>
      </c>
      <c r="E6" s="3" t="n">
        <v>0.4245843230403801</v>
      </c>
    </row>
    <row r="7">
      <c r="A7" s="2" t="inlineStr">
        <is>
          <t>2015-06</t>
        </is>
      </c>
      <c r="B7" s="2" t="n">
        <v>1651</v>
      </c>
      <c r="C7" s="3" t="n">
        <v>0.5699576014536645</v>
      </c>
      <c r="D7" s="3" t="n">
        <v>0.1853422168382798</v>
      </c>
      <c r="E7" s="3" t="n">
        <v>0.4300423985463356</v>
      </c>
    </row>
    <row r="8">
      <c r="A8" s="2" t="inlineStr">
        <is>
          <t>2015-07</t>
        </is>
      </c>
      <c r="B8" s="2" t="n">
        <v>1704</v>
      </c>
      <c r="C8" s="3" t="n">
        <v>0.5651408450704225</v>
      </c>
      <c r="D8" s="3" t="n">
        <v>0.1895539906103286</v>
      </c>
      <c r="E8" s="3" t="n">
        <v>0.4348591549295774</v>
      </c>
    </row>
    <row r="9">
      <c r="A9" s="2" t="inlineStr">
        <is>
          <t>2015-08</t>
        </is>
      </c>
      <c r="B9" s="2" t="n">
        <v>1678</v>
      </c>
      <c r="C9" s="3" t="n">
        <v>0.5756853396901073</v>
      </c>
      <c r="D9" s="3" t="n">
        <v>0.1811680572109654</v>
      </c>
      <c r="E9" s="3" t="n">
        <v>0.4243146603098927</v>
      </c>
    </row>
    <row r="10">
      <c r="A10" s="2" t="inlineStr">
        <is>
          <t>2015-09</t>
        </is>
      </c>
      <c r="B10" s="2" t="n">
        <v>1634</v>
      </c>
      <c r="C10" s="3" t="n">
        <v>0.5820073439412484</v>
      </c>
      <c r="D10" s="3" t="n">
        <v>0.1768665850673194</v>
      </c>
      <c r="E10" s="3" t="n">
        <v>0.4179926560587515</v>
      </c>
    </row>
    <row r="11">
      <c r="A11" s="2" t="inlineStr">
        <is>
          <t>2015-10</t>
        </is>
      </c>
      <c r="B11" s="2" t="n">
        <v>1696</v>
      </c>
      <c r="C11" s="3" t="n">
        <v>0.5737028301886793</v>
      </c>
      <c r="D11" s="3" t="n">
        <v>0.1786556603773585</v>
      </c>
      <c r="E11" s="3" t="n">
        <v>0.4262971698113208</v>
      </c>
    </row>
    <row r="12">
      <c r="A12" s="2" t="inlineStr">
        <is>
          <t>2015-11</t>
        </is>
      </c>
      <c r="B12" s="2" t="n">
        <v>1658</v>
      </c>
      <c r="C12" s="3" t="n">
        <v>0.5675512665862484</v>
      </c>
      <c r="D12" s="3" t="n">
        <v>0.192400482509047</v>
      </c>
      <c r="E12" s="3" t="n">
        <v>0.4324487334137515</v>
      </c>
    </row>
    <row r="13">
      <c r="A13" s="2" t="inlineStr">
        <is>
          <t>2015-12</t>
        </is>
      </c>
      <c r="B13" s="2" t="n">
        <v>1731</v>
      </c>
      <c r="C13" s="3" t="n">
        <v>0.5707683419988446</v>
      </c>
      <c r="D13" s="3" t="n">
        <v>0.1865973425765453</v>
      </c>
      <c r="E13" s="3" t="n">
        <v>0.4292316580011554</v>
      </c>
    </row>
    <row r="14">
      <c r="A14" s="2" t="inlineStr">
        <is>
          <t>2016-01</t>
        </is>
      </c>
      <c r="B14" s="2" t="n">
        <v>1703</v>
      </c>
      <c r="C14" s="3" t="n">
        <v>0.5860246623605402</v>
      </c>
      <c r="D14" s="3" t="n">
        <v>0.182031708749266</v>
      </c>
      <c r="E14" s="3" t="n">
        <v>0.4139753376394598</v>
      </c>
    </row>
    <row r="15">
      <c r="A15" s="2" t="inlineStr">
        <is>
          <t>2016-02</t>
        </is>
      </c>
      <c r="B15" s="2" t="n">
        <v>1574</v>
      </c>
      <c r="C15" s="3" t="n">
        <v>0.5673443456162643</v>
      </c>
      <c r="D15" s="3" t="n">
        <v>0.1969504447268107</v>
      </c>
      <c r="E15" s="3" t="n">
        <v>0.4326556543837357</v>
      </c>
    </row>
    <row r="16">
      <c r="A16" s="2" t="inlineStr">
        <is>
          <t>2016-03</t>
        </is>
      </c>
      <c r="B16" s="2" t="n">
        <v>1700</v>
      </c>
      <c r="C16" s="3" t="n">
        <v>0.5805882352941176</v>
      </c>
      <c r="D16" s="3" t="n">
        <v>0.1747058823529412</v>
      </c>
      <c r="E16" s="3" t="n">
        <v>0.4194117647058824</v>
      </c>
    </row>
    <row r="17">
      <c r="A17" s="2" t="inlineStr">
        <is>
          <t>2016-04</t>
        </is>
      </c>
      <c r="B17" s="2" t="n">
        <v>1630</v>
      </c>
      <c r="C17" s="3" t="n">
        <v>0.5674846625766872</v>
      </c>
      <c r="D17" s="3" t="n">
        <v>0.1914110429447853</v>
      </c>
      <c r="E17" s="3" t="n">
        <v>0.4325153374233129</v>
      </c>
    </row>
    <row r="18">
      <c r="A18" s="2" t="inlineStr">
        <is>
          <t>2016-05</t>
        </is>
      </c>
      <c r="B18" s="2" t="n">
        <v>1675</v>
      </c>
      <c r="C18" s="3" t="n">
        <v>0.5797014925373134</v>
      </c>
      <c r="D18" s="3" t="n">
        <v>0.1952238805970149</v>
      </c>
      <c r="E18" s="3" t="n">
        <v>0.4202985074626865</v>
      </c>
    </row>
    <row r="19">
      <c r="A19" s="2" t="inlineStr">
        <is>
          <t>2016-06</t>
        </is>
      </c>
      <c r="B19" s="2" t="n">
        <v>1617</v>
      </c>
      <c r="C19" s="3" t="n">
        <v>0.5986394557823129</v>
      </c>
      <c r="D19" s="3" t="n">
        <v>0.1842918985776129</v>
      </c>
      <c r="E19" s="3" t="n">
        <v>0.4013605442176871</v>
      </c>
    </row>
    <row r="20">
      <c r="A20" s="2" t="inlineStr">
        <is>
          <t>2016-07</t>
        </is>
      </c>
      <c r="B20" s="2" t="n">
        <v>1662</v>
      </c>
      <c r="C20" s="3" t="n">
        <v>0.5547533092659447</v>
      </c>
      <c r="D20" s="3" t="n">
        <v>0.1955475330926595</v>
      </c>
      <c r="E20" s="3" t="n">
        <v>0.4452466907340554</v>
      </c>
    </row>
    <row r="21">
      <c r="A21" s="2" t="inlineStr">
        <is>
          <t>2016-08</t>
        </is>
      </c>
      <c r="B21" s="2" t="n">
        <v>1698</v>
      </c>
      <c r="C21" s="3" t="n">
        <v>0.5789163722025913</v>
      </c>
      <c r="D21" s="3" t="n">
        <v>0.1784452296819788</v>
      </c>
      <c r="E21" s="3" t="n">
        <v>0.4210836277974087</v>
      </c>
    </row>
    <row r="22">
      <c r="A22" s="2" t="inlineStr">
        <is>
          <t>2016-09</t>
        </is>
      </c>
      <c r="B22" s="2" t="n">
        <v>1664</v>
      </c>
      <c r="C22" s="3" t="n">
        <v>0.5703125</v>
      </c>
      <c r="D22" s="3" t="n">
        <v>0.1917067307692308</v>
      </c>
      <c r="E22" s="3" t="n">
        <v>0.4296875</v>
      </c>
    </row>
    <row r="23">
      <c r="A23" s="2" t="inlineStr">
        <is>
          <t>2016-10</t>
        </is>
      </c>
      <c r="B23" s="2" t="n">
        <v>1703</v>
      </c>
      <c r="C23" s="3" t="n">
        <v>0.5731062830299471</v>
      </c>
      <c r="D23" s="3" t="n">
        <v>0.2002348796241926</v>
      </c>
      <c r="E23" s="3" t="n">
        <v>0.4268937169700529</v>
      </c>
    </row>
    <row r="24">
      <c r="A24" s="2" t="inlineStr">
        <is>
          <t>2016-11</t>
        </is>
      </c>
      <c r="B24" s="2" t="n">
        <v>1639</v>
      </c>
      <c r="C24" s="3" t="n">
        <v>0.5704697986577181</v>
      </c>
      <c r="D24" s="3" t="n">
        <v>0.1805979255643685</v>
      </c>
      <c r="E24" s="3" t="n">
        <v>0.4295302013422819</v>
      </c>
    </row>
    <row r="25">
      <c r="A25" s="2" t="inlineStr">
        <is>
          <t>2016-12</t>
        </is>
      </c>
      <c r="B25" s="2" t="n">
        <v>1690</v>
      </c>
      <c r="C25" s="3" t="n">
        <v>0.5857988165680473</v>
      </c>
      <c r="D25" s="3" t="n">
        <v>0.1804733727810651</v>
      </c>
      <c r="E25" s="3" t="n">
        <v>0.4142011834319527</v>
      </c>
    </row>
    <row r="26">
      <c r="A26" s="2" t="inlineStr">
        <is>
          <t>2017-01</t>
        </is>
      </c>
      <c r="B26" s="2" t="n">
        <v>1685</v>
      </c>
      <c r="C26" s="3" t="n">
        <v>0.5578635014836796</v>
      </c>
      <c r="D26" s="3" t="n">
        <v>0.1916913946587537</v>
      </c>
      <c r="E26" s="3" t="n">
        <v>0.4421364985163205</v>
      </c>
    </row>
    <row r="27">
      <c r="A27" s="2" t="inlineStr">
        <is>
          <t>2017-02</t>
        </is>
      </c>
      <c r="B27" s="2" t="n">
        <v>1538</v>
      </c>
      <c r="C27" s="3" t="n">
        <v>0.5715214564369311</v>
      </c>
      <c r="D27" s="3" t="n">
        <v>0.1911573472041612</v>
      </c>
      <c r="E27" s="3" t="n">
        <v>0.4284785435630689</v>
      </c>
    </row>
    <row r="28">
      <c r="A28" s="2" t="inlineStr">
        <is>
          <t>2017-03</t>
        </is>
      </c>
      <c r="B28" s="2" t="n">
        <v>1710</v>
      </c>
      <c r="C28" s="3" t="n">
        <v>0.5754385964912281</v>
      </c>
      <c r="D28" s="3" t="n">
        <v>0.1853801169590643</v>
      </c>
      <c r="E28" s="3" t="n">
        <v>0.4245614035087719</v>
      </c>
    </row>
    <row r="29">
      <c r="A29" s="2" t="inlineStr">
        <is>
          <t>2017-04</t>
        </is>
      </c>
      <c r="B29" s="2" t="n">
        <v>1666</v>
      </c>
      <c r="C29" s="3" t="n">
        <v>0.5504201680672269</v>
      </c>
      <c r="D29" s="3" t="n">
        <v>0.202280912364946</v>
      </c>
      <c r="E29" s="3" t="n">
        <v>0.4495798319327731</v>
      </c>
    </row>
    <row r="30">
      <c r="A30" s="2" t="inlineStr">
        <is>
          <t>2017-05</t>
        </is>
      </c>
      <c r="B30" s="2" t="n">
        <v>1672</v>
      </c>
      <c r="C30" s="3" t="n">
        <v>0.5771531100478469</v>
      </c>
      <c r="D30" s="3" t="n">
        <v>0.1913875598086124</v>
      </c>
      <c r="E30" s="3" t="n">
        <v>0.4228468899521531</v>
      </c>
    </row>
    <row r="31">
      <c r="A31" s="2" t="inlineStr">
        <is>
          <t>2017-06</t>
        </is>
      </c>
      <c r="B31" s="2" t="n">
        <v>1605</v>
      </c>
      <c r="C31" s="3" t="n">
        <v>0.567601246105919</v>
      </c>
      <c r="D31" s="3" t="n">
        <v>0.1819314641744548</v>
      </c>
      <c r="E31" s="3" t="n">
        <v>0.432398753894081</v>
      </c>
    </row>
    <row r="32">
      <c r="A32" s="2" t="inlineStr">
        <is>
          <t>2017-07</t>
        </is>
      </c>
      <c r="B32" s="2" t="n">
        <v>1693</v>
      </c>
      <c r="C32" s="3" t="n">
        <v>0.570584760779681</v>
      </c>
      <c r="D32" s="3" t="n">
        <v>0.1831069108092144</v>
      </c>
      <c r="E32" s="3" t="n">
        <v>0.4294152392203189</v>
      </c>
    </row>
    <row r="33">
      <c r="A33" s="2" t="inlineStr">
        <is>
          <t>2017-08</t>
        </is>
      </c>
      <c r="B33" s="2" t="n">
        <v>1695</v>
      </c>
      <c r="C33" s="3" t="n">
        <v>0.5787610619469027</v>
      </c>
      <c r="D33" s="3" t="n">
        <v>0.1799410029498525</v>
      </c>
      <c r="E33" s="3" t="n">
        <v>0.4212389380530974</v>
      </c>
    </row>
    <row r="34">
      <c r="A34" s="2" t="inlineStr">
        <is>
          <t>2017-09</t>
        </is>
      </c>
      <c r="B34" s="2" t="n">
        <v>1640</v>
      </c>
      <c r="C34" s="3" t="n">
        <v>0.573780487804878</v>
      </c>
      <c r="D34" s="3" t="n">
        <v>0.1810975609756098</v>
      </c>
      <c r="E34" s="3" t="n">
        <v>0.4262195121951219</v>
      </c>
    </row>
    <row r="35">
      <c r="A35" s="2" t="inlineStr">
        <is>
          <t>2017-10</t>
        </is>
      </c>
      <c r="B35" s="2" t="n">
        <v>2019</v>
      </c>
      <c r="C35" s="3" t="n">
        <v>0.563150074294205</v>
      </c>
      <c r="D35" s="3" t="n">
        <v>0.1877166914314017</v>
      </c>
      <c r="E35" s="3" t="n">
        <v>0.436849925705795</v>
      </c>
    </row>
    <row r="36">
      <c r="A36" s="2" t="inlineStr">
        <is>
          <t>2017-11</t>
        </is>
      </c>
      <c r="B36" s="2" t="n">
        <v>1956</v>
      </c>
      <c r="C36" s="3" t="n">
        <v>0.5787321063394683</v>
      </c>
      <c r="D36" s="3" t="n">
        <v>0.1835378323108385</v>
      </c>
      <c r="E36" s="3" t="n">
        <v>0.4212678936605317</v>
      </c>
    </row>
    <row r="37">
      <c r="A37" s="2" t="inlineStr">
        <is>
          <t>2017-12</t>
        </is>
      </c>
      <c r="B37" s="2" t="n">
        <v>2031</v>
      </c>
      <c r="C37" s="3" t="n">
        <v>0.5770556376169375</v>
      </c>
      <c r="D37" s="3" t="n">
        <v>0.1816838995568685</v>
      </c>
      <c r="E37" s="3" t="n">
        <v>0.4229443623830625</v>
      </c>
    </row>
    <row r="38">
      <c r="A38" s="2" t="inlineStr">
        <is>
          <t>2018-01</t>
        </is>
      </c>
      <c r="B38" s="2" t="n">
        <v>2037</v>
      </c>
      <c r="C38" s="3" t="n">
        <v>0.586647029945999</v>
      </c>
      <c r="D38" s="3" t="n">
        <v>0.1836033382425135</v>
      </c>
      <c r="E38" s="3" t="n">
        <v>0.413352970054001</v>
      </c>
    </row>
  </sheetData>
  <autoFilter ref="A1:E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22" customWidth="1" min="4" max="4"/>
    <col width="23" customWidth="1" min="5" max="5"/>
    <col width="25" customWidth="1" min="6" max="6"/>
    <col width="26" customWidth="1" min="7" max="7"/>
    <col width="13" customWidth="1" min="8" max="8"/>
    <col width="20" customWidth="1" min="9" max="9"/>
    <col width="21" customWidth="1" min="10" max="10"/>
    <col width="23" customWidth="1" min="11" max="11"/>
    <col width="48" customWidth="1" min="12" max="12"/>
  </cols>
  <sheetData>
    <row r="1" ht="30" customHeight="1">
      <c r="A1" s="1" t="inlineStr">
        <is>
          <t>Year</t>
        </is>
      </c>
      <c r="B1" s="1" t="inlineStr">
        <is>
          <t>Total Distinct Orders</t>
        </is>
      </c>
      <c r="C1" s="1" t="inlineStr">
        <is>
          <t>Eligible Delivered Orders</t>
        </is>
      </c>
      <c r="D1" s="1" t="inlineStr">
        <is>
          <t>Late Delivery Orders</t>
        </is>
      </c>
      <c r="E1" s="1" t="inlineStr">
        <is>
          <t>Strict On-Time Orders</t>
        </is>
      </c>
      <c r="F1" s="1" t="inlineStr">
        <is>
          <t>Advance Shipping Orders</t>
        </is>
      </c>
      <c r="G1" s="1" t="inlineStr">
        <is>
          <t>Shipping Canceled Orders</t>
        </is>
      </c>
      <c r="H1" s="1" t="inlineStr">
        <is>
          <t>Source Rows</t>
        </is>
      </c>
      <c r="I1" s="1" t="inlineStr">
        <is>
          <t>Late Delivery Rate</t>
        </is>
      </c>
      <c r="J1" s="1" t="inlineStr">
        <is>
          <t>Strict On-Time Rate</t>
        </is>
      </c>
      <c r="K1" s="1" t="inlineStr">
        <is>
          <t>On-Time-or-Early Rate</t>
        </is>
      </c>
      <c r="L1" s="1" t="inlineStr">
        <is>
          <t>Period Coverage</t>
        </is>
      </c>
    </row>
    <row r="2">
      <c r="A2" s="2" t="inlineStr">
        <is>
          <t>2015</t>
        </is>
      </c>
      <c r="B2" s="2" t="n">
        <v>20904</v>
      </c>
      <c r="C2" s="2" t="n">
        <v>19995</v>
      </c>
      <c r="D2" s="2" t="n">
        <v>11431</v>
      </c>
      <c r="E2" s="2" t="n">
        <v>3703</v>
      </c>
      <c r="F2" s="2" t="n">
        <v>4861</v>
      </c>
      <c r="G2" s="2" t="n">
        <v>909</v>
      </c>
      <c r="H2" s="2" t="n">
        <v>62650</v>
      </c>
      <c r="I2" s="3" t="n">
        <v>0.5716929232308077</v>
      </c>
      <c r="J2" s="3" t="n">
        <v>0.1851962990747687</v>
      </c>
      <c r="K2" s="3" t="n">
        <v>0.4283070767691923</v>
      </c>
      <c r="L2" s="2" t="inlineStr">
        <is>
          <t>Full calendar year</t>
        </is>
      </c>
    </row>
    <row r="3">
      <c r="A3" s="2" t="inlineStr">
        <is>
          <t>2016</t>
        </is>
      </c>
      <c r="B3" s="2" t="n">
        <v>20859</v>
      </c>
      <c r="C3" s="2" t="n">
        <v>19955</v>
      </c>
      <c r="D3" s="2" t="n">
        <v>11497</v>
      </c>
      <c r="E3" s="2" t="n">
        <v>3743</v>
      </c>
      <c r="F3" s="2" t="n">
        <v>4715</v>
      </c>
      <c r="G3" s="2" t="n">
        <v>904</v>
      </c>
      <c r="H3" s="2" t="n">
        <v>62550</v>
      </c>
      <c r="I3" s="3" t="n">
        <v>0.5761463292407918</v>
      </c>
      <c r="J3" s="3" t="n">
        <v>0.1875720370834377</v>
      </c>
      <c r="K3" s="3" t="n">
        <v>0.4238536707592082</v>
      </c>
      <c r="L3" s="2" t="inlineStr">
        <is>
          <t>Full calendar year</t>
        </is>
      </c>
    </row>
    <row r="4">
      <c r="A4" s="2" t="inlineStr">
        <is>
          <t>2017</t>
        </is>
      </c>
      <c r="B4" s="2" t="n">
        <v>21866</v>
      </c>
      <c r="C4" s="2" t="n">
        <v>20910</v>
      </c>
      <c r="D4" s="2" t="n">
        <v>11925</v>
      </c>
      <c r="E4" s="2" t="n">
        <v>3902</v>
      </c>
      <c r="F4" s="2" t="n">
        <v>5083</v>
      </c>
      <c r="G4" s="2" t="n">
        <v>956</v>
      </c>
      <c r="H4" s="2" t="n">
        <v>53196</v>
      </c>
      <c r="I4" s="3" t="n">
        <v>0.5703012912482066</v>
      </c>
      <c r="J4" s="3" t="n">
        <v>0.1866092778574845</v>
      </c>
      <c r="K4" s="3" t="n">
        <v>0.4296987087517934</v>
      </c>
      <c r="L4" s="2" t="inlineStr">
        <is>
          <t>Full calendar year in source date range; investigate volume change</t>
        </is>
      </c>
    </row>
    <row r="5">
      <c r="A5" s="2" t="inlineStr">
        <is>
          <t>2018</t>
        </is>
      </c>
      <c r="B5" s="2" t="n">
        <v>2123</v>
      </c>
      <c r="C5" s="2" t="n">
        <v>2037</v>
      </c>
      <c r="D5" s="2" t="n">
        <v>1195</v>
      </c>
      <c r="E5" s="2" t="n">
        <v>374</v>
      </c>
      <c r="F5" s="2" t="n">
        <v>468</v>
      </c>
      <c r="G5" s="2" t="n">
        <v>86</v>
      </c>
      <c r="H5" s="2" t="n">
        <v>2123</v>
      </c>
      <c r="I5" s="3" t="n">
        <v>0.586647029945999</v>
      </c>
      <c r="J5" s="3" t="n">
        <v>0.1836033382425135</v>
      </c>
      <c r="K5" s="3" t="n">
        <v>0.413352970054001</v>
      </c>
      <c r="L5" s="2" t="inlineStr">
        <is>
          <t>Partial year: January only</t>
        </is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30" customHeight="1">
      <c r="A1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  <col width="13" customWidth="1" min="4" max="4"/>
  </cols>
  <sheetData>
    <row r="1" ht="30" customHeight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Result</t>
        </is>
      </c>
    </row>
    <row r="2">
      <c r="A2" s="2" t="inlineStr">
        <is>
          <t>Distinct orders reconcile</t>
        </is>
      </c>
      <c r="B2" s="2" t="n">
        <v>65752</v>
      </c>
      <c r="C2" s="2" t="n">
        <v>65752</v>
      </c>
      <c r="D2" s="2" t="inlineStr">
        <is>
          <t>PASS</t>
        </is>
      </c>
    </row>
    <row r="3">
      <c r="A3" s="2" t="inlineStr">
        <is>
          <t>Eligible delivered orders reconcile</t>
        </is>
      </c>
      <c r="B3" s="2" t="n">
        <v>62897</v>
      </c>
      <c r="C3" s="2" t="n">
        <v>62897</v>
      </c>
      <c r="D3" s="2" t="inlineStr">
        <is>
          <t>PASS</t>
        </is>
      </c>
    </row>
    <row r="4">
      <c r="A4" s="2" t="inlineStr">
        <is>
          <t>Late delivery orders reconcile</t>
        </is>
      </c>
      <c r="B4" s="2" t="n">
        <v>36048</v>
      </c>
      <c r="C4" s="2" t="n">
        <v>36048</v>
      </c>
      <c r="D4" s="2" t="inlineStr">
        <is>
          <t>PASS</t>
        </is>
      </c>
    </row>
    <row r="5">
      <c r="A5" s="2" t="inlineStr">
        <is>
          <t>Strict on-time orders reconcile</t>
        </is>
      </c>
      <c r="B5" s="2" t="n">
        <v>11722</v>
      </c>
      <c r="C5" s="2" t="n">
        <v>11722</v>
      </c>
      <c r="D5" s="2" t="inlineStr">
        <is>
          <t>PASS</t>
        </is>
      </c>
    </row>
    <row r="6">
      <c r="A6" s="2" t="inlineStr">
        <is>
          <t>Advance shipping orders reconcile</t>
        </is>
      </c>
      <c r="B6" s="2" t="n">
        <v>15127</v>
      </c>
      <c r="C6" s="2" t="n">
        <v>15127</v>
      </c>
      <c r="D6" s="2" t="inlineStr">
        <is>
          <t>PASS</t>
        </is>
      </c>
    </row>
    <row r="7">
      <c r="A7" s="2" t="inlineStr">
        <is>
          <t>Shipping canceled orders reconcile</t>
        </is>
      </c>
      <c r="B7" s="2" t="n">
        <v>2855</v>
      </c>
      <c r="C7" s="2" t="n">
        <v>2855</v>
      </c>
      <c r="D7" s="2" t="inlineStr">
        <is>
          <t>PASS</t>
        </is>
      </c>
    </row>
    <row r="8">
      <c r="A8" s="2" t="inlineStr">
        <is>
          <t>Order date conflicts</t>
        </is>
      </c>
      <c r="B8" s="2" t="n">
        <v>0</v>
      </c>
      <c r="C8" s="2" t="n">
        <v>0</v>
      </c>
      <c r="D8" s="2" t="inlineStr">
        <is>
          <t>PASS</t>
        </is>
      </c>
    </row>
    <row r="9">
      <c r="A9" s="2" t="inlineStr">
        <is>
          <t>Delivery status conflicts</t>
        </is>
      </c>
      <c r="B9" s="2" t="n">
        <v>0</v>
      </c>
      <c r="C9" s="2" t="n">
        <v>0</v>
      </c>
      <c r="D9" s="2" t="inlineStr">
        <is>
          <t>PASS</t>
        </is>
      </c>
    </row>
    <row r="10">
      <c r="A10" s="2" t="inlineStr">
        <is>
          <t>Missing order IDs</t>
        </is>
      </c>
      <c r="B10" s="2" t="n">
        <v>0</v>
      </c>
      <c r="C10" s="2" t="n">
        <v>0</v>
      </c>
      <c r="D10" s="2" t="inlineStr">
        <is>
          <t>PASS</t>
        </is>
      </c>
    </row>
    <row r="11">
      <c r="A11" s="2" t="inlineStr">
        <is>
          <t>Missing or invalid order dates</t>
        </is>
      </c>
      <c r="B11" s="2" t="n">
        <v>0</v>
      </c>
      <c r="C11" s="2" t="n">
        <v>0</v>
      </c>
      <c r="D11" s="2" t="inlineStr">
        <is>
          <t>PASS</t>
        </is>
      </c>
    </row>
    <row r="12">
      <c r="A12" s="2" t="inlineStr">
        <is>
          <t>Monthly periods</t>
        </is>
      </c>
      <c r="B12" s="2" t="n">
        <v>37</v>
      </c>
      <c r="C12" s="2" t="n">
        <v>37</v>
      </c>
      <c r="D12" s="2" t="inlineStr">
        <is>
          <t>PASS</t>
        </is>
      </c>
    </row>
  </sheetData>
  <autoFilter ref="A1:D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</cols>
  <sheetData>
    <row r="1" ht="30" customHeight="1">
      <c r="A1" s="1" t="inlineStr">
        <is>
          <t>Topic</t>
        </is>
      </c>
      <c r="B1" s="1" t="inlineStr">
        <is>
          <t>Definition / Limitation</t>
        </is>
      </c>
    </row>
    <row r="2">
      <c r="A2" s="2" t="inlineStr">
        <is>
          <t>Source</t>
        </is>
      </c>
      <c r="B2" s="2" t="inlineStr">
        <is>
          <t>data/raw/DataCoSupplyChainDataset.csv; read-only.</t>
        </is>
      </c>
    </row>
    <row r="3">
      <c r="A3" s="2" t="inlineStr">
        <is>
          <t>Date basis</t>
        </is>
      </c>
      <c r="B3" s="2" t="inlineStr">
        <is>
          <t>Monthly grouping uses order date (DateOrders).</t>
        </is>
      </c>
    </row>
    <row r="4">
      <c r="A4" s="2" t="inlineStr">
        <is>
          <t>Counting unit</t>
        </is>
      </c>
      <c r="B4" s="2" t="inlineStr">
        <is>
          <t>Distinct Order Id; source rows are reported separately.</t>
        </is>
      </c>
    </row>
    <row r="5">
      <c r="A5" s="2" t="inlineStr">
        <is>
          <t>Eligible delivered orders</t>
        </is>
      </c>
      <c r="B5" s="2" t="inlineStr">
        <is>
          <t>Total distinct orders minus Shipping canceled orders.</t>
        </is>
      </c>
    </row>
    <row r="6">
      <c r="A6" s="2" t="inlineStr">
        <is>
          <t>Late delivery rate</t>
        </is>
      </c>
      <c r="B6" s="2" t="inlineStr">
        <is>
          <t>Late delivery orders / eligible delivered orders.</t>
        </is>
      </c>
    </row>
    <row r="7">
      <c r="A7" s="2" t="inlineStr">
        <is>
          <t>Strict on-time rate</t>
        </is>
      </c>
      <c r="B7" s="2" t="inlineStr">
        <is>
          <t>Shipping on time orders / eligible delivered orders.</t>
        </is>
      </c>
    </row>
    <row r="8">
      <c r="A8" s="2" t="inlineStr">
        <is>
          <t>On-time-or-early rate</t>
        </is>
      </c>
      <c r="B8" s="2" t="inlineStr">
        <is>
          <t>(Shipping on time + Advance shipping) / eligible delivered orders.</t>
        </is>
      </c>
    </row>
    <row r="9">
      <c r="A9" s="2" t="inlineStr">
        <is>
          <t>Advance shipping</t>
        </is>
      </c>
      <c r="B9" s="2" t="inlineStr">
        <is>
          <t>Kept separate from strict on-time; included only in on-time-or-early.</t>
        </is>
      </c>
    </row>
    <row r="10">
      <c r="A10" s="2" t="inlineStr">
        <is>
          <t>Canceled shipments</t>
        </is>
      </c>
      <c r="B10" s="2" t="inlineStr">
        <is>
          <t>Shipping canceled excluded from delivered-order rate denominators.</t>
        </is>
      </c>
    </row>
    <row r="11">
      <c r="A11" s="2" t="inlineStr">
        <is>
          <t>Partial year</t>
        </is>
      </c>
      <c r="B11" s="2" t="inlineStr">
        <is>
          <t>2018 contains January only and must not be compared as a full year.</t>
        </is>
      </c>
    </row>
    <row r="12">
      <c r="A12" s="2" t="inlineStr">
        <is>
          <t>Coverage caution</t>
        </is>
      </c>
      <c r="B12" s="2" t="inlineStr">
        <is>
          <t>Source-row volume changes notably in late 2017; investigate coverage before interpreting trend changes.</t>
        </is>
      </c>
    </row>
    <row r="13">
      <c r="A13" s="2" t="inlineStr">
        <is>
          <t>Interpretation</t>
        </is>
      </c>
      <c r="B13" s="2" t="inlineStr">
        <is>
          <t>Descriptive trends do not establish causes of delivery delays.</t>
        </is>
      </c>
    </row>
    <row r="14">
      <c r="A14" s="2" t="inlineStr">
        <is>
          <t>Carrier limitation</t>
        </is>
      </c>
      <c r="B14" s="2" t="inlineStr">
        <is>
          <t>No carrier identifier is used in this Member 1 analysis.</t>
        </is>
      </c>
    </row>
    <row r="15">
      <c r="A15" s="2" t="inlineStr">
        <is>
          <t>Predictive modeling</t>
        </is>
      </c>
      <c r="B15" s="2" t="inlineStr">
        <is>
          <t>No predictive model is created in this workbook.</t>
        </is>
      </c>
    </row>
    <row r="16">
      <c r="A16" s="2" t="inlineStr">
        <is>
          <t>Data quality</t>
        </is>
      </c>
      <c r="B16" s="2" t="inlineStr">
        <is>
          <t>No rows are deleted or modified. Conflicting order dates/statuses cause the script to stop.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2026-10-31T14:43:26Z</dcterms:created>
  <dcterms:modified xsi:type="dcterms:W3CDTF">2026-10-31T14:43:26Z</dcterms:modified>
</cp:coreProperties>
</file>