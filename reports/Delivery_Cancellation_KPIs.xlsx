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79d4e277be58fc3/Desktop/Qveto project 1/New folder/"/>
    </mc:Choice>
  </mc:AlternateContent>
  <xr:revisionPtr revIDLastSave="0" documentId="8_{EA6946A2-DC3D-4B34-81A6-5CD3BD89F20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KPI Definitions" sheetId="1" r:id="rId1"/>
    <sheet name="Calculation Rules" sheetId="2" r:id="rId2"/>
    <sheet name="Validation Evidence" sheetId="3" r:id="rId3"/>
    <sheet name="Example Calculations" sheetId="4" r:id="rId4"/>
  </sheets>
  <definedNames>
    <definedName name="_xlnm._FilterDatabase" localSheetId="1" hidden="1">'Calculation Rules'!$A$1:$D$10</definedName>
    <definedName name="_xlnm._FilterDatabase" localSheetId="3" hidden="1">'Example Calculations'!$A$1:$F$3</definedName>
    <definedName name="_xlnm._FilterDatabase" localSheetId="0" hidden="1">'KPI Definitions'!$A$1:$E$3</definedName>
    <definedName name="_xlnm._FilterDatabase" localSheetId="2" hidden="1">'Validation Evidence'!$A$1:$C$10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D3" i="4"/>
  <c r="E2" i="4"/>
  <c r="D2" i="4"/>
</calcChain>
</file>

<file path=xl/sharedStrings.xml><?xml version="1.0" encoding="utf-8"?>
<sst xmlns="http://schemas.openxmlformats.org/spreadsheetml/2006/main" count="95" uniqueCount="89">
  <si>
    <t>KPI Name</t>
  </si>
  <si>
    <t>Definition</t>
  </si>
  <si>
    <t>Numerator</t>
  </si>
  <si>
    <t>Denominator</t>
  </si>
  <si>
    <t>Formula</t>
  </si>
  <si>
    <t>On-Time Delivery Rate</t>
  </si>
  <si>
    <t>Percentage of eligible orders with a recorded delivery outcome that were classified as on time or advance shipping.</t>
  </si>
  <si>
    <t>Distinct Order IDs with Delivery Status = 'Advance shipping' or 'Shipping on time'.</t>
  </si>
  <si>
    <t>Distinct Order IDs with Delivery Status = 'Advance shipping', 'Shipping on time', or 'Late delivery'.</t>
  </si>
  <si>
    <t>(On-time/advance orders ÷ eligible delivered orders) × 100</t>
  </si>
  <si>
    <t>Cancellation Rate</t>
  </si>
  <si>
    <t>Percentage of distinct eligible orders whose Order Status is explicitly CANCELED.</t>
  </si>
  <si>
    <t>Distinct Order IDs with Order Status = 'CANCELED'.</t>
  </si>
  <si>
    <t>All distinct Order IDs in the supplied cleaned interim dataset.</t>
  </si>
  <si>
    <t>(Cancelled distinct orders ÷ all distinct eligible orders) × 100</t>
  </si>
  <si>
    <t>Rule ID</t>
  </si>
  <si>
    <t>Topic</t>
  </si>
  <si>
    <t>CR-01</t>
  </si>
  <si>
    <t>Unit of analysis</t>
  </si>
  <si>
    <t>Count distinct Order Id, not CSV rows.</t>
  </si>
  <si>
    <t>The dataset has 180,519 item-level rows but only 65,752 distinct orders; counting rows would over-count orders.</t>
  </si>
  <si>
    <t>CR-02</t>
  </si>
  <si>
    <t>On-time numerator</t>
  </si>
  <si>
    <t>Count distinct orders whose Delivery Status is 'Advance shipping' or 'Shipping on time'.</t>
  </si>
  <si>
    <t>These are the available categories that indicate an on-time/early shipping outcome.</t>
  </si>
  <si>
    <t>CR-03</t>
  </si>
  <si>
    <t>On-time denominator</t>
  </si>
  <si>
    <t>Count distinct orders whose Delivery Status is 'Advance shipping', 'Shipping on time', or 'Late delivery'.</t>
  </si>
  <si>
    <t>Exclude 'Shipping canceled' from the delivered-outcome denominator.</t>
  </si>
  <si>
    <t>CR-04</t>
  </si>
  <si>
    <t>Cancellation numerator</t>
  </si>
  <si>
    <t>Count distinct orders with Order Status exactly 'CANCELED'.</t>
  </si>
  <si>
    <t>Do not treat every non-complete status as cancelled.</t>
  </si>
  <si>
    <t>CR-05</t>
  </si>
  <si>
    <t>Cancellation denominator</t>
  </si>
  <si>
    <t>Count all distinct Order Id values in the supplied dataset.</t>
  </si>
  <si>
    <t>Includes cancelled, delivered/closed, pending, processing, on-hold, payment-review, and suspected-fraud statuses. Revisit if business policy excludes any of these.</t>
  </si>
  <si>
    <t>CR-06</t>
  </si>
  <si>
    <t>Date window</t>
  </si>
  <si>
    <t>No date filter applied; calculations cover the full supplied file.</t>
  </si>
  <si>
    <t>For a period-specific report, agree on the reporting period and use order date for cancellation rate; define delivery-date logic for delivery KPI.</t>
  </si>
  <si>
    <t>CR-07</t>
  </si>
  <si>
    <t>Timestamp limitation</t>
  </si>
  <si>
    <t>Actual and promised delivery timestamps are not present as explicit fields.</t>
  </si>
  <si>
    <t>The on-time KPI uses Delivery Status as a proxy rather than timestamp comparison. Confirm this is acceptable with the project owner.</t>
  </si>
  <si>
    <t>CR-08</t>
  </si>
  <si>
    <t>Cancellation cross-check</t>
  </si>
  <si>
    <t>2,855 distinct orders have Delivery Status = 'Shipping canceled', while 1,367 have Order Status = 'CANCELED'.</t>
  </si>
  <si>
    <t>These fields do not match one-to-one in this dataset; use the agreed source-of-truth field for cancellation and investigate the discrepancy.</t>
  </si>
  <si>
    <t>CR-09</t>
  </si>
  <si>
    <t>Duplicate order IDs</t>
  </si>
  <si>
    <t>Order Id appears on multiple item rows; aggregate to one record per Order Id before counting.</t>
  </si>
  <si>
    <t>Each order is counted once for these order-level KPIs.</t>
  </si>
  <si>
    <t>Validation Check</t>
  </si>
  <si>
    <t>Observed Result</t>
  </si>
  <si>
    <t>Source file</t>
  </si>
  <si>
    <t>DataCo_Cleaned_Interim.csv</t>
  </si>
  <si>
    <t>Supplied cleaned interim dataset used for validation evidence.</t>
  </si>
  <si>
    <t>Input row count</t>
  </si>
  <si>
    <t>180,519</t>
  </si>
  <si>
    <t>Item-level rows; not the correct denominator unit for order-level KPIs.</t>
  </si>
  <si>
    <t>Distinct Order Id count</t>
  </si>
  <si>
    <t>65,752</t>
  </si>
  <si>
    <t>Use distinct orders for both KPI calculations.</t>
  </si>
  <si>
    <t>Repeated order rows</t>
  </si>
  <si>
    <t>114,767 rows beyond one row per order</t>
  </si>
  <si>
    <t>Expected in item-level order data; deduplicate/aggregate by Order Id for KPI counting, not by dropping line items blindly.</t>
  </si>
  <si>
    <t>Orders with inconsistent status within same Order Id</t>
  </si>
  <si>
    <t>0</t>
  </si>
  <si>
    <t>Order Status and Delivery Status were consistent within each Order Id in this file.</t>
  </si>
  <si>
    <t>Delivery Status counts (distinct orders)</t>
  </si>
  <si>
    <t>Advance shipping: 15,127; Shipping on time: 11,722; Late delivery: 36,048; Shipping canceled: 2,855</t>
  </si>
  <si>
    <t>Status categories used to construct the delivery KPI denominator and numerator.</t>
  </si>
  <si>
    <t>Order Status = CANCELED (distinct orders)</t>
  </si>
  <si>
    <t>1,367</t>
  </si>
  <si>
    <t>Explicit cancellation status used for the cancellation numerator.</t>
  </si>
  <si>
    <t>Missing order creation timestamps</t>
  </si>
  <si>
    <t>0 item rows</t>
  </si>
  <si>
    <t>No missing order creation timestamps found in the supplied file.</t>
  </si>
  <si>
    <t>Missing shipping dates</t>
  </si>
  <si>
    <t>No missing shipping dates found, but shipping date is not necessarily proof of customer delivery.</t>
  </si>
  <si>
    <t>Numerator Count</t>
  </si>
  <si>
    <t>Denominator Count</t>
  </si>
  <si>
    <t>Calculated Result</t>
  </si>
  <si>
    <t>Interpretation</t>
  </si>
  <si>
    <t>Dataset-based proxy result using Delivery Status categories; confirm the proxy definition before treating it as a final business KPI.</t>
  </si>
  <si>
    <t>Dataset-based result using distinct Order Id and explicit Order Status = CANCELED.</t>
  </si>
  <si>
    <t>Rule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</si>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</sst>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60" customWidth="1"/>
    <col min="3" max="3" width="55" customWidth="1"/>
    <col min="4" max="4" width="60" customWidth="1"/>
    <col min="5" max="5" width="48" customWidth="1"/>
  </cols>
  <sheetData>
    <row r="1" spans="1:5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4.05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64.05" customHeigh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</sheetData>
  <autoFilter ref="A1:E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4" customWidth="1"/>
    <col min="2" max="2" width="24" customWidth="1"/>
    <col min="3" max="3" width="58.44140625" customWidth="1"/>
    <col min="4" max="4" width="61.21875" customWidth="1"/>
  </cols>
  <sheetData>
    <row r="1" spans="1:4" ht="31.95" customHeight="1" x14ac:dyDescent="0.3">
      <c r="A1" s="1" t="s">
        <v>15</v>
      </c>
      <c r="B1" s="1" t="s">
        <v>16</v>
      </c>
      <c r="C1" s="1" t="s">
        <v>87</v>
      </c>
      <c r="D1" s="1" t="s">
        <v>88</v>
      </c>
    </row>
    <row r="2" spans="1:4" ht="64.05" customHeight="1" x14ac:dyDescent="0.3">
      <c r="A2" s="2" t="s">
        <v>17</v>
      </c>
      <c r="B2" s="2" t="s">
        <v>18</v>
      </c>
      <c r="C2" s="2" t="s">
        <v>19</v>
      </c>
      <c r="D2" s="2" t="s">
        <v>20</v>
      </c>
    </row>
    <row r="3" spans="1:4" ht="64.05" customHeight="1" x14ac:dyDescent="0.3">
      <c r="A3" s="2" t="s">
        <v>21</v>
      </c>
      <c r="B3" s="2" t="s">
        <v>22</v>
      </c>
      <c r="C3" s="2" t="s">
        <v>23</v>
      </c>
      <c r="D3" s="2" t="s">
        <v>24</v>
      </c>
    </row>
    <row r="4" spans="1:4" ht="64.05" customHeight="1" x14ac:dyDescent="0.3">
      <c r="A4" s="2" t="s">
        <v>25</v>
      </c>
      <c r="B4" s="2" t="s">
        <v>26</v>
      </c>
      <c r="C4" s="2" t="s">
        <v>27</v>
      </c>
      <c r="D4" s="2" t="s">
        <v>28</v>
      </c>
    </row>
    <row r="5" spans="1:4" ht="64.05" customHeight="1" x14ac:dyDescent="0.3">
      <c r="A5" s="2" t="s">
        <v>29</v>
      </c>
      <c r="B5" s="2" t="s">
        <v>30</v>
      </c>
      <c r="C5" s="2" t="s">
        <v>31</v>
      </c>
      <c r="D5" s="2" t="s">
        <v>32</v>
      </c>
    </row>
    <row r="6" spans="1:4" ht="64.05" customHeight="1" x14ac:dyDescent="0.3">
      <c r="A6" s="2" t="s">
        <v>33</v>
      </c>
      <c r="B6" s="2" t="s">
        <v>34</v>
      </c>
      <c r="C6" s="2" t="s">
        <v>35</v>
      </c>
      <c r="D6" s="2" t="s">
        <v>36</v>
      </c>
    </row>
    <row r="7" spans="1:4" ht="64.05" customHeight="1" x14ac:dyDescent="0.3">
      <c r="A7" s="2" t="s">
        <v>37</v>
      </c>
      <c r="B7" s="2" t="s">
        <v>38</v>
      </c>
      <c r="C7" s="2" t="s">
        <v>39</v>
      </c>
      <c r="D7" s="2" t="s">
        <v>40</v>
      </c>
    </row>
    <row r="8" spans="1:4" ht="64.05" customHeight="1" x14ac:dyDescent="0.3">
      <c r="A8" s="2" t="s">
        <v>41</v>
      </c>
      <c r="B8" s="2" t="s">
        <v>42</v>
      </c>
      <c r="C8" s="2" t="s">
        <v>43</v>
      </c>
      <c r="D8" s="2" t="s">
        <v>44</v>
      </c>
    </row>
    <row r="9" spans="1:4" ht="64.05" customHeight="1" x14ac:dyDescent="0.3">
      <c r="A9" s="2" t="s">
        <v>45</v>
      </c>
      <c r="B9" s="2" t="s">
        <v>46</v>
      </c>
      <c r="C9" s="2" t="s">
        <v>47</v>
      </c>
      <c r="D9" s="2" t="s">
        <v>48</v>
      </c>
    </row>
    <row r="10" spans="1:4" ht="64.05" customHeight="1" x14ac:dyDescent="0.3">
      <c r="A10" s="2" t="s">
        <v>49</v>
      </c>
      <c r="B10" s="2" t="s">
        <v>50</v>
      </c>
      <c r="C10" s="2" t="s">
        <v>51</v>
      </c>
      <c r="D10" s="2" t="s">
        <v>52</v>
      </c>
    </row>
  </sheetData>
  <autoFilter ref="A1:D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40.88671875" customWidth="1"/>
    <col min="2" max="2" width="44.77734375" customWidth="1"/>
    <col min="3" max="3" width="69.44140625" customWidth="1"/>
  </cols>
  <sheetData>
    <row r="1" spans="1:3" ht="31.95" customHeight="1" x14ac:dyDescent="0.3">
      <c r="A1" s="1" t="s">
        <v>53</v>
      </c>
      <c r="B1" s="1" t="s">
        <v>54</v>
      </c>
      <c r="C1" s="1" t="s">
        <v>84</v>
      </c>
    </row>
    <row r="2" spans="1:3" ht="64.05" customHeight="1" x14ac:dyDescent="0.3">
      <c r="A2" s="2" t="s">
        <v>55</v>
      </c>
      <c r="B2" s="2" t="s">
        <v>56</v>
      </c>
      <c r="C2" s="2" t="s">
        <v>57</v>
      </c>
    </row>
    <row r="3" spans="1:3" ht="64.05" customHeight="1" x14ac:dyDescent="0.3">
      <c r="A3" s="2" t="s">
        <v>58</v>
      </c>
      <c r="B3" s="2" t="s">
        <v>59</v>
      </c>
      <c r="C3" s="2" t="s">
        <v>60</v>
      </c>
    </row>
    <row r="4" spans="1:3" ht="64.05" customHeight="1" x14ac:dyDescent="0.3">
      <c r="A4" s="2" t="s">
        <v>61</v>
      </c>
      <c r="B4" s="2" t="s">
        <v>62</v>
      </c>
      <c r="C4" s="2" t="s">
        <v>63</v>
      </c>
    </row>
    <row r="5" spans="1:3" ht="64.05" customHeight="1" x14ac:dyDescent="0.3">
      <c r="A5" s="2" t="s">
        <v>64</v>
      </c>
      <c r="B5" s="2" t="s">
        <v>65</v>
      </c>
      <c r="C5" s="2" t="s">
        <v>66</v>
      </c>
    </row>
    <row r="6" spans="1:3" ht="64.05" customHeight="1" x14ac:dyDescent="0.3">
      <c r="A6" s="2" t="s">
        <v>67</v>
      </c>
      <c r="B6" s="2" t="s">
        <v>68</v>
      </c>
      <c r="C6" s="2" t="s">
        <v>69</v>
      </c>
    </row>
    <row r="7" spans="1:3" ht="64.05" customHeight="1" x14ac:dyDescent="0.3">
      <c r="A7" s="2" t="s">
        <v>70</v>
      </c>
      <c r="B7" s="2" t="s">
        <v>71</v>
      </c>
      <c r="C7" s="2" t="s">
        <v>72</v>
      </c>
    </row>
    <row r="8" spans="1:3" ht="64.05" customHeight="1" x14ac:dyDescent="0.3">
      <c r="A8" s="2" t="s">
        <v>73</v>
      </c>
      <c r="B8" s="2" t="s">
        <v>74</v>
      </c>
      <c r="C8" s="2" t="s">
        <v>75</v>
      </c>
    </row>
    <row r="9" spans="1:3" ht="64.05" customHeight="1" x14ac:dyDescent="0.3">
      <c r="A9" s="2" t="s">
        <v>76</v>
      </c>
      <c r="B9" s="2" t="s">
        <v>77</v>
      </c>
      <c r="C9" s="2" t="s">
        <v>78</v>
      </c>
    </row>
    <row r="10" spans="1:3" ht="64.05" customHeight="1" x14ac:dyDescent="0.3">
      <c r="A10" s="2" t="s">
        <v>79</v>
      </c>
      <c r="B10" s="2" t="s">
        <v>77</v>
      </c>
      <c r="C10" s="2" t="s">
        <v>80</v>
      </c>
    </row>
  </sheetData>
  <autoFilter ref="A1:C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" width="28" customWidth="1"/>
    <col min="2" max="2" width="20" customWidth="1"/>
    <col min="3" max="3" width="22" customWidth="1"/>
    <col min="4" max="4" width="24" customWidth="1"/>
    <col min="5" max="5" width="22" customWidth="1"/>
    <col min="6" max="6" width="61" customWidth="1"/>
  </cols>
  <sheetData>
    <row r="1" spans="1:6" ht="31.95" customHeight="1" x14ac:dyDescent="0.3">
      <c r="A1" s="1" t="s">
        <v>0</v>
      </c>
      <c r="B1" s="1" t="s">
        <v>81</v>
      </c>
      <c r="C1" s="1" t="s">
        <v>82</v>
      </c>
      <c r="D1" s="1" t="s">
        <v>4</v>
      </c>
      <c r="E1" s="1" t="s">
        <v>83</v>
      </c>
      <c r="F1" s="1" t="s">
        <v>84</v>
      </c>
    </row>
    <row r="2" spans="1:6" ht="64.05" customHeight="1" x14ac:dyDescent="0.3">
      <c r="A2" s="2" t="s">
        <v>5</v>
      </c>
      <c r="B2" s="2">
        <v>26849</v>
      </c>
      <c r="C2" s="2">
        <v>62897</v>
      </c>
      <c r="D2" s="2">
        <f>(B2/C2)*100</f>
        <v>42.687250584288599</v>
      </c>
      <c r="E2" s="3">
        <f>(B2/C2)*100</f>
        <v>42.687250584288599</v>
      </c>
      <c r="F2" s="2" t="s">
        <v>85</v>
      </c>
    </row>
    <row r="3" spans="1:6" ht="64.05" customHeight="1" x14ac:dyDescent="0.3">
      <c r="A3" s="2" t="s">
        <v>10</v>
      </c>
      <c r="B3" s="2">
        <v>1367</v>
      </c>
      <c r="C3" s="2">
        <v>65752</v>
      </c>
      <c r="D3" s="2">
        <f>(B3/C3)*100</f>
        <v>2.0790242121912641</v>
      </c>
      <c r="E3" s="3">
        <f>(B3/C3)*100</f>
        <v>2.0790242121912641</v>
      </c>
      <c r="F3" s="2" t="s">
        <v>86</v>
      </c>
    </row>
  </sheetData>
  <autoFilter ref="A1:F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 Definitions</vt:lpstr>
      <vt:lpstr>Calculation Rules</vt:lpstr>
      <vt:lpstr>Validation Evidence</vt:lpstr>
      <vt:lpstr>Example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Roshini S</cp:lastModifiedBy>
  <dcterms:created xsi:type="dcterms:W3CDTF">2026-10-22T15:37:07Z</dcterms:created>
  <dcterms:modified xsi:type="dcterms:W3CDTF">2026-10-22T15:53:56Z</dcterms:modified>
</cp:coreProperties>
</file>